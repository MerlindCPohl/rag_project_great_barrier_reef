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merlindconstanzepohl/Desktop/RAG Implementierung/Code/data/evaluation/"/>
    </mc:Choice>
  </mc:AlternateContent>
  <xr:revisionPtr revIDLastSave="0" documentId="13_ncr:1_{B94A200F-0A68-9840-B49F-0F774053E15A}" xr6:coauthVersionLast="47" xr6:coauthVersionMax="47" xr10:uidLastSave="{00000000-0000-0000-0000-000000000000}"/>
  <bookViews>
    <workbookView xWindow="520" yWindow="680" windowWidth="19280" windowHeight="16120" xr2:uid="{42ECDC16-2E67-5846-8710-6140CBFC69A2}"/>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1" l="1"/>
  <c r="N12" i="1"/>
  <c r="N11" i="1"/>
  <c r="N9" i="1"/>
  <c r="N8" i="1"/>
  <c r="N7" i="1"/>
  <c r="N6" i="1"/>
  <c r="N5" i="1"/>
  <c r="N4" i="1"/>
  <c r="N3" i="1"/>
  <c r="N2" i="1"/>
  <c r="K17" i="1"/>
  <c r="M17" i="1"/>
  <c r="L17" i="1"/>
  <c r="L16" i="1"/>
  <c r="L15" i="1"/>
  <c r="L14" i="1"/>
  <c r="L13" i="1"/>
  <c r="L12" i="1"/>
  <c r="L11" i="1"/>
  <c r="L10" i="1"/>
  <c r="L9" i="1"/>
  <c r="L8" i="1"/>
  <c r="L7" i="1"/>
  <c r="L6" i="1"/>
  <c r="L5" i="1"/>
  <c r="L4" i="1"/>
  <c r="L3" i="1"/>
  <c r="L2" i="1"/>
  <c r="K16" i="1"/>
  <c r="K15" i="1"/>
  <c r="K14" i="1"/>
  <c r="K13" i="1"/>
  <c r="K12" i="1"/>
  <c r="K11" i="1"/>
  <c r="K10" i="1"/>
  <c r="K9" i="1"/>
  <c r="K8" i="1"/>
  <c r="K7" i="1"/>
  <c r="K6" i="1"/>
  <c r="K5" i="1"/>
  <c r="K4" i="1"/>
  <c r="K3" i="1"/>
  <c r="K2" i="1"/>
  <c r="N17" i="1" l="1"/>
</calcChain>
</file>

<file path=xl/sharedStrings.xml><?xml version="1.0" encoding="utf-8"?>
<sst xmlns="http://schemas.openxmlformats.org/spreadsheetml/2006/main" count="105" uniqueCount="70">
  <si>
    <t>Query</t>
  </si>
  <si>
    <t xml:space="preserve">What is the value of the gross product which the Great Barrier Reef generates for Queensland? </t>
  </si>
  <si>
    <t>What are the symptoms of the climate change at the Great Barrier Reef?</t>
  </si>
  <si>
    <t>Does the licence for ocean fishing cost a fee?</t>
  </si>
  <si>
    <t>There are no recreational fishing licence fees for ocean fishing
in Queensland. (p. 25)</t>
  </si>
  <si>
    <t>How big is the Great Barrier Reef?</t>
  </si>
  <si>
    <t>Model-based estimates of the extent of further global atmospheric warming by the end
of the 21st century lie within the range +1.4 to +5.8 degrees Celsius. (p. 54)</t>
  </si>
  <si>
    <t>How will the climate change affect the tourism?</t>
  </si>
  <si>
    <t>Atmospheric and cryospheric warming, and changes in ocean composition (increased
acidification, both of which may lead to mass coral bleaching.
Increased extreme weather frequency
Disease vector movements. These effects influence  the attractiveness of the Great Barrier Reef as a destination per
se; the attractiveness and risks of visiting the GBRCA more generally. (p. 60)</t>
  </si>
  <si>
    <t>How many visits does the Great Barrier Reef get on average per year?</t>
  </si>
  <si>
    <t>How much will the Earth warm up?</t>
  </si>
  <si>
    <t>Q-ID</t>
  </si>
  <si>
    <t>Expected Text / Ground Truth</t>
  </si>
  <si>
    <t>How many people work in the Great Barrier Reef industry in the whole of Australia?</t>
  </si>
  <si>
    <t>How many people work locally at the Great Barrier Reef?</t>
  </si>
  <si>
    <t>Whats the geografical range of the Great Barrier Reef?</t>
  </si>
  <si>
    <t>It covers an area of approximately 345,400 square kilometres and stretches more than 2,300
kilometres along the northeast coast of Queensland. (p. 11)</t>
  </si>
  <si>
    <t>The Great Barrier Reef Marine Park (GBRMP) ranges from the tip of Cape York in
Queensland in the north extending south past the Tropic of Capricorn almost to Bundaberg. (p.11)</t>
  </si>
  <si>
    <t>According to the provided context, approximately 56,000 persons are employed (on a full-time equivalent basis) in the Great Barrier Reef industry in Australia.</t>
  </si>
  <si>
    <t>According to the context, approximately 44,000 persons work locally in the Great Barrier Reef region on a full-time equivalent basis.</t>
  </si>
  <si>
    <t>According to the provided context, about 56,000 persons (on a full-time equivalent basis) work in the Great Barrier Reef catchment area.</t>
  </si>
  <si>
    <t>How many persons in Queensland work at the Great Barrier Reef?</t>
  </si>
  <si>
    <t>Around $5.4 billion per annum.</t>
  </si>
  <si>
    <t>The symptoms of climate change at the Great Barrier Reef include:
* Changes towards lower species diversity and numbers
* Less coral cover
* More specialisation on more hardy coral species
* Higher algae concentrations</t>
  </si>
  <si>
    <t>The geographical range of the Great Barrier Reef (GBRMP) is from the tip of Cape York in Queensland, extending south past the Tropic of Capricorn almost to Bundaberg, covering an area of approximately 345,400 square kilometres and stretching more than 2,300 kilometres along the northeast coast of Queensland.</t>
  </si>
  <si>
    <t>The Great Barrier Reef covers an area of approximately 345,400 square kilometres and stretches over 2,300 kilometres along the northeast coast of Queensland.</t>
  </si>
  <si>
    <t>No, there is no recreational fishing licence fee for ocean fishing in Queensland.</t>
  </si>
  <si>
    <t>The global average surface temperature has risen between 0.6 and 0.7 degrees Celsius since the start of the 20th century, and by 0.18 degrees Celsius per decade since then.</t>
  </si>
  <si>
    <t>Atmospheric and cryospheric warming, changes in ocean composition (increased acidification), mass coral bleaching, increased extreme weather frequency, and disease vector movements are expected to directly affect tourism. These effects may lead to a decrease in the attractiveness of the Great Barrier Reef as a destination, as well as an increase in risks associated with visiting the area.</t>
  </si>
  <si>
    <t>The Great Barrier Reef gets approximately 2 million visits per year.</t>
  </si>
  <si>
    <r>
      <rPr>
        <b/>
        <sz val="12"/>
        <color theme="1"/>
        <rFont val="Aptos Narrow"/>
        <scheme val="minor"/>
      </rPr>
      <t>RAG Output: Simple System-Prompt</t>
    </r>
    <r>
      <rPr>
        <sz val="12"/>
        <color theme="1"/>
        <rFont val="Aptos Narrow"/>
        <family val="2"/>
        <scheme val="minor"/>
      </rPr>
      <t xml:space="preserve">
Prompt: 
Use the following context to answer the question concisely and factually. 
Do not say where the information comes from, just give the answer. 
If the provided texts mention different numbers or information for the same topic, list them separately. 
    </t>
    </r>
  </si>
  <si>
    <r>
      <rPr>
        <b/>
        <sz val="12"/>
        <color theme="1"/>
        <rFont val="Aptos Narrow"/>
        <scheme val="minor"/>
      </rPr>
      <t>partially relevant (1)</t>
    </r>
    <r>
      <rPr>
        <sz val="12"/>
        <color theme="1"/>
        <rFont val="Aptos Narrow"/>
        <family val="2"/>
        <scheme val="minor"/>
      </rPr>
      <t xml:space="preserve">
correct, but not full information</t>
    </r>
  </si>
  <si>
    <t>Total reef visits increased from 1.4 million in 1993-94 to just under 2 million visits in 2004-05.(p. 23)</t>
  </si>
  <si>
    <r>
      <rPr>
        <b/>
        <sz val="12"/>
        <color theme="1"/>
        <rFont val="Aptos Narrow"/>
        <scheme val="minor"/>
      </rPr>
      <t>value provided in documents (1)</t>
    </r>
    <r>
      <rPr>
        <sz val="12"/>
        <color theme="1"/>
        <rFont val="Aptos Narrow"/>
        <family val="2"/>
        <scheme val="minor"/>
      </rPr>
      <t xml:space="preserve">
</t>
    </r>
  </si>
  <si>
    <t>What does happen to the fish if the reef gets in a bad condition?</t>
  </si>
  <si>
    <t>The fish and other organisms dependent on the living coral also die (if they cannot move elsewhere). In turn, the fish and other animals higher up the food chain (including the top predators) also either die or move elsewhere.</t>
  </si>
  <si>
    <t>The text does not mention what happens to the octopus. It only discusses the effects of climate change on coral reefs and the organisms that depend on them, including fish and other animals higher up the food chain.</t>
  </si>
  <si>
    <t>What happens to the octopus?</t>
  </si>
  <si>
    <t>Where is Nemo?</t>
  </si>
  <si>
    <t>There is no mention of Nemo in the provided context.</t>
  </si>
  <si>
    <t>not int the document</t>
  </si>
  <si>
    <t xml:space="preserve">not in the document </t>
  </si>
  <si>
    <t>Can we calculate the total population of Australia?</t>
  </si>
  <si>
    <t>value provided in documents (1)</t>
  </si>
  <si>
    <t xml:space="preserve">value not provided in documents (1)
</t>
  </si>
  <si>
    <t>No, the provided context does not mention the total population of Australia. It only provides information on the economic value and employment figures for the Great Barrier Reef Marine Park (GBRMP) in Queensland and Australia.</t>
  </si>
  <si>
    <r>
      <t xml:space="preserve">Correctness
</t>
    </r>
    <r>
      <rPr>
        <sz val="12"/>
        <color theme="1"/>
        <rFont val="Aptos Narrow"/>
        <scheme val="minor"/>
      </rPr>
      <t>Retrieval output versus expected text/ground truth</t>
    </r>
  </si>
  <si>
    <t>not correct</t>
  </si>
  <si>
    <r>
      <rPr>
        <b/>
        <sz val="12"/>
        <color theme="1"/>
        <rFont val="Aptos Narrow"/>
        <scheme val="minor"/>
      </rPr>
      <t>relevant (1)</t>
    </r>
    <r>
      <rPr>
        <sz val="12"/>
        <color theme="1"/>
        <rFont val="Aptos Narrow"/>
        <family val="2"/>
        <scheme val="minor"/>
      </rPr>
      <t xml:space="preserve">
</t>
    </r>
  </si>
  <si>
    <t>correct</t>
  </si>
  <si>
    <r>
      <rPr>
        <b/>
        <sz val="12"/>
        <color theme="1"/>
        <rFont val="Aptos Narrow"/>
        <scheme val="minor"/>
      </rPr>
      <t>Answer Relevancy</t>
    </r>
    <r>
      <rPr>
        <sz val="12"/>
        <color theme="1"/>
        <rFont val="Aptos Narrow"/>
        <family val="2"/>
        <scheme val="minor"/>
      </rPr>
      <t xml:space="preserve">
Is the answer actually useful for the user’s query?
Is the output on-topic and addresses the user’s intent?
</t>
    </r>
    <r>
      <rPr>
        <sz val="12"/>
        <color theme="1"/>
        <rFont val="Aptos Narrow"/>
        <scheme val="minor"/>
      </rPr>
      <t xml:space="preserve">
</t>
    </r>
  </si>
  <si>
    <r>
      <rPr>
        <b/>
        <sz val="12"/>
        <color theme="1"/>
        <rFont val="Aptos Narrow"/>
        <scheme val="minor"/>
      </rPr>
      <t>Faithfulness / Groundedness</t>
    </r>
    <r>
      <rPr>
        <sz val="12"/>
        <color theme="1"/>
        <rFont val="Aptos Narrow"/>
        <family val="2"/>
        <scheme val="minor"/>
      </rPr>
      <t xml:space="preserve">
Does the answer come only from the provided documents? 
Is the response supported by the context?
Does the model hallucinate?
</t>
    </r>
  </si>
  <si>
    <r>
      <rPr>
        <b/>
        <sz val="12"/>
        <color theme="1"/>
        <rFont val="Aptos Narrow"/>
        <scheme val="minor"/>
      </rPr>
      <t>Evaluation metrics:</t>
    </r>
    <r>
      <rPr>
        <sz val="12"/>
        <color theme="1"/>
        <rFont val="Aptos Narrow"/>
        <family val="2"/>
        <scheme val="minor"/>
      </rPr>
      <t xml:space="preserve"> 
</t>
    </r>
    <r>
      <rPr>
        <b/>
        <sz val="12"/>
        <color theme="1"/>
        <rFont val="Aptos Narrow"/>
        <scheme val="minor"/>
      </rPr>
      <t xml:space="preserve">Faithfulness/ Groundedness: </t>
    </r>
    <r>
      <rPr>
        <sz val="12"/>
        <color theme="1"/>
        <rFont val="Aptos Narrow"/>
        <family val="2"/>
        <scheme val="minor"/>
      </rPr>
      <t xml:space="preserve">
relevant (1) / partially relevant (1 or 0) / not relevant (0);
</t>
    </r>
    <r>
      <rPr>
        <b/>
        <sz val="12"/>
        <color theme="1"/>
        <rFont val="Aptos Narrow"/>
        <scheme val="minor"/>
      </rPr>
      <t xml:space="preserve">Answer Relevancy: </t>
    </r>
    <r>
      <rPr>
        <sz val="12"/>
        <color theme="1"/>
        <rFont val="Aptos Narrow"/>
        <family val="2"/>
        <scheme val="minor"/>
      </rPr>
      <t xml:space="preserve">
value provided in documents / value not provided in documents
</t>
    </r>
    <r>
      <rPr>
        <b/>
        <sz val="12"/>
        <color theme="1"/>
        <rFont val="Aptos Narrow"/>
        <scheme val="minor"/>
      </rPr>
      <t>Correctness:</t>
    </r>
    <r>
      <rPr>
        <sz val="12"/>
        <color theme="1"/>
        <rFont val="Aptos Narrow"/>
        <family val="2"/>
        <scheme val="minor"/>
      </rPr>
      <t xml:space="preserve"> correct / not correct
</t>
    </r>
  </si>
  <si>
    <t>ECO-SYSTEM IMPACTS: [...] The fish and other organisms dependent on the
living coral also die (if they cannot move elsewhere). In turn, the fish and other animals
higher up the food chain (including the top predators) also either die or move elsewhere. (p. 57/58)</t>
  </si>
  <si>
    <r>
      <rPr>
        <b/>
        <sz val="12"/>
        <color theme="1"/>
        <rFont val="Aptos Narrow"/>
        <scheme val="minor"/>
      </rPr>
      <t>partially relevant (0)</t>
    </r>
    <r>
      <rPr>
        <sz val="12"/>
        <color theme="1"/>
        <rFont val="Aptos Narrow"/>
        <family val="2"/>
        <scheme val="minor"/>
      </rPr>
      <t xml:space="preserve">
it provides literally the same text, but without the context before it seems a bit abstract and is not well readable fo the user
</t>
    </r>
  </si>
  <si>
    <r>
      <rPr>
        <b/>
        <sz val="12"/>
        <color theme="1"/>
        <rFont val="Aptos Narrow"/>
        <scheme val="minor"/>
      </rPr>
      <t>partially relevant (0)</t>
    </r>
    <r>
      <rPr>
        <sz val="12"/>
        <color theme="1"/>
        <rFont val="Aptos Narrow"/>
        <family val="2"/>
        <scheme val="minor"/>
      </rPr>
      <t xml:space="preserve">
no hallucination/not wrong, still value not correctly given and answer not properly answered as user clearly asked for a future scenario
</t>
    </r>
  </si>
  <si>
    <r>
      <rPr>
        <b/>
        <sz val="12"/>
        <color theme="1"/>
        <rFont val="Aptos Narrow"/>
        <scheme val="minor"/>
      </rPr>
      <t>partially relevant (1)</t>
    </r>
    <r>
      <rPr>
        <sz val="12"/>
        <color theme="1"/>
        <rFont val="Aptos Narrow"/>
        <family val="2"/>
        <scheme val="minor"/>
      </rPr>
      <t xml:space="preserve">
no hallucination, still incorrect value because of wrong context -  but seems to be reasonable value to user
</t>
    </r>
  </si>
  <si>
    <t>Top-k</t>
  </si>
  <si>
    <t>Found relevant chunks</t>
  </si>
  <si>
    <t>Relevant chunks in source</t>
  </si>
  <si>
    <t>Precision@k</t>
  </si>
  <si>
    <t>Recall@k</t>
  </si>
  <si>
    <t>Hit Rate</t>
  </si>
  <si>
    <t>F1@5</t>
  </si>
  <si>
    <t>The corresponding estimates for Australia are: For employment (full time equivalent basis), about 66,000 persons (p. 47, 2)</t>
  </si>
  <si>
    <t>For employment (full time equivalent basis), about 44,000 persons (p. 47, 2)</t>
  </si>
  <si>
    <t>The corresponding estimates for Queensland are: For employment (full time equivalent basis), about 56,000 persons. (p. 47, 2)</t>
  </si>
  <si>
    <t>$5.4 billion per annum (p. 47, 2)</t>
  </si>
  <si>
    <t xml:space="preserve">relevant (1)
</t>
  </si>
  <si>
    <t>Substantial eco-system change and decline: more
extreme weather, plus more tropical disease risks, 
coral bleaching: Reef
destruction, less coral cover, less biodiversity (p. 5)
In this situation, the whole reef eco-system may change. While the reef may not be
completely destroyed, its nature will change:
towards lower species diversity and numbers;
towards less coral cover;
towards more specialisation on more hardy coral species;
and including higher algae concentrations. 
The drivers of these economic effects, summarising sections 9.2 and 9.3 above, are:
Atmospheric and cryospheric warming, with the former possibly concentrated in tropical
regions.
Ocean warming, sea level increases and changes in ocean composition, possibly
especially in tropical regions.
More extreme weather events, including cyclones (which will be concentrated in
tropical regions).
Increased incidence of tropical diseases within the GBRCA, and migration of disease
vectors away from the equator and towards the poles.
Specific to the GBRMP, increased frequency of mass coral bleaching events,
threatening reef diversity, coral cover and ultimately reef eco-systems. (p. 57/58)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</si>
</sst>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theme="1"/>
      <name val="Aptos Narrow"/>
      <scheme val="minor"/>
    </font>
    <font>
      <b/>
      <sz val="12"/>
      <color rgb="FF000000"/>
      <name val="Aptos Narrow"/>
      <scheme val="minor"/>
    </font>
  </fonts>
  <fills count="5">
    <fill>
      <patternFill patternType="none"/>
    </fill>
    <fill>
      <patternFill patternType="gray125"/>
    </fill>
    <fill>
      <patternFill patternType="solid">
        <fgColor rgb="FFEAF8DB"/>
        <bgColor indexed="64"/>
      </patternFill>
    </fill>
    <fill>
      <patternFill patternType="solid">
        <fgColor rgb="FFE1ECF9"/>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top"/>
    </xf>
    <xf numFmtId="0" fontId="0" fillId="0" borderId="0" xfId="0" applyAlignment="1">
      <alignment horizontal="left" vertical="top"/>
    </xf>
    <xf numFmtId="0" fontId="2" fillId="2" borderId="0" xfId="0" applyFont="1" applyFill="1" applyAlignment="1">
      <alignment vertical="top" wrapText="1"/>
    </xf>
    <xf numFmtId="0" fontId="1" fillId="2" borderId="0" xfId="0" applyFont="1" applyFill="1" applyAlignment="1">
      <alignment vertical="top"/>
    </xf>
    <xf numFmtId="0" fontId="1"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1" fillId="2" borderId="0" xfId="0" applyFont="1" applyFill="1" applyAlignment="1">
      <alignment vertical="top" wrapText="1"/>
    </xf>
    <xf numFmtId="0" fontId="2" fillId="3" borderId="0" xfId="0" applyFont="1" applyFill="1" applyAlignment="1">
      <alignment vertical="top" wrapText="1"/>
    </xf>
    <xf numFmtId="0" fontId="3" fillId="0" borderId="0" xfId="0" applyFont="1" applyAlignment="1">
      <alignment horizontal="left" vertical="top" wrapText="1"/>
    </xf>
    <xf numFmtId="12" fontId="1" fillId="0" borderId="0" xfId="0" applyNumberFormat="1" applyFont="1" applyAlignment="1">
      <alignment vertical="top" wrapText="1"/>
    </xf>
    <xf numFmtId="12" fontId="1" fillId="4" borderId="0" xfId="0" applyNumberFormat="1" applyFont="1" applyFill="1" applyAlignment="1">
      <alignment vertical="top" wrapText="1"/>
    </xf>
    <xf numFmtId="2" fontId="0" fillId="0" borderId="0" xfId="0" applyNumberFormat="1" applyAlignment="1">
      <alignment vertical="top"/>
    </xf>
    <xf numFmtId="2" fontId="0" fillId="4" borderId="0" xfId="0" applyNumberFormat="1" applyFill="1" applyAlignment="1">
      <alignment vertical="top"/>
    </xf>
  </cellXfs>
  <cellStyles count="1">
    <cellStyle name="Standard" xfId="0" builtinId="0"/>
  </cellStyles>
  <dxfs count="0"/>
  <tableStyles count="0" defaultTableStyle="TableStyleMedium2" defaultPivotStyle="PivotStyleLight16"/>
  <colors>
    <mruColors>
      <color rgb="FFE1ECF9"/>
      <color rgb="FFEAF8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F1@5" TargetMode="External"/><Relationship Id="rId2" Type="http://schemas.openxmlformats.org/officeDocument/2006/relationships/hyperlink" Target="mailto:Recall@k" TargetMode="External"/><Relationship Id="rId1" Type="http://schemas.openxmlformats.org/officeDocument/2006/relationships/hyperlink" Target="mailto:Precisio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B6C7E-3945-004D-9C20-B4D0D386A596}">
  <dimension ref="A1:P23"/>
  <sheetViews>
    <sheetView tabSelected="1" zoomScale="59" zoomScaleNormal="67" workbookViewId="0">
      <selection activeCell="N17" sqref="N17"/>
    </sheetView>
  </sheetViews>
  <sheetFormatPr baseColWidth="10" defaultRowHeight="16" x14ac:dyDescent="0.2"/>
  <cols>
    <col min="1" max="1" width="6" customWidth="1"/>
    <col min="2" max="2" width="52.6640625" customWidth="1"/>
    <col min="3" max="4" width="42.1640625" customWidth="1"/>
    <col min="5" max="5" width="42.1640625" style="2" customWidth="1"/>
    <col min="6" max="7" width="53.6640625" customWidth="1"/>
    <col min="8" max="8" width="10.33203125" customWidth="1"/>
    <col min="9" max="9" width="22.33203125" customWidth="1"/>
    <col min="10" max="10" width="25.5" customWidth="1"/>
    <col min="11" max="11" width="16.33203125" customWidth="1"/>
    <col min="12" max="14" width="13.33203125" customWidth="1"/>
    <col min="15" max="15" width="39.1640625" customWidth="1"/>
    <col min="16" max="16" width="40.83203125" customWidth="1"/>
    <col min="17" max="17" width="42" customWidth="1"/>
  </cols>
  <sheetData>
    <row r="1" spans="1:15" ht="155" customHeight="1" x14ac:dyDescent="0.2">
      <c r="A1" s="4" t="s">
        <v>11</v>
      </c>
      <c r="B1" s="4" t="s">
        <v>0</v>
      </c>
      <c r="C1" s="4" t="s">
        <v>12</v>
      </c>
      <c r="D1" s="3" t="s">
        <v>30</v>
      </c>
      <c r="E1" s="3" t="s">
        <v>51</v>
      </c>
      <c r="F1" s="3" t="s">
        <v>50</v>
      </c>
      <c r="G1" s="9" t="s">
        <v>46</v>
      </c>
      <c r="H1" s="9" t="s">
        <v>57</v>
      </c>
      <c r="I1" s="9" t="s">
        <v>58</v>
      </c>
      <c r="J1" s="9" t="s">
        <v>59</v>
      </c>
      <c r="K1" s="9" t="s">
        <v>60</v>
      </c>
      <c r="L1" s="9" t="s">
        <v>61</v>
      </c>
      <c r="M1" s="9" t="s">
        <v>62</v>
      </c>
      <c r="N1" s="9" t="s">
        <v>63</v>
      </c>
      <c r="O1" s="10" t="s">
        <v>52</v>
      </c>
    </row>
    <row r="2" spans="1:15" ht="68" x14ac:dyDescent="0.2">
      <c r="A2" s="1">
        <v>1</v>
      </c>
      <c r="B2" s="8" t="s">
        <v>13</v>
      </c>
      <c r="C2" s="6" t="s">
        <v>64</v>
      </c>
      <c r="D2" s="6" t="s">
        <v>18</v>
      </c>
      <c r="E2" s="7" t="s">
        <v>33</v>
      </c>
      <c r="F2" s="7" t="s">
        <v>56</v>
      </c>
      <c r="G2" s="8" t="s">
        <v>47</v>
      </c>
      <c r="H2" s="11">
        <v>5</v>
      </c>
      <c r="I2" s="8">
        <v>2</v>
      </c>
      <c r="J2" s="8">
        <v>2</v>
      </c>
      <c r="K2" s="12">
        <f xml:space="preserve"> I2/H2</f>
        <v>0.4</v>
      </c>
      <c r="L2" s="12">
        <f>IF(J2=0, "", I2/J2)</f>
        <v>1</v>
      </c>
      <c r="M2" s="8">
        <v>1</v>
      </c>
      <c r="N2" s="14">
        <f>2*((K2*L2)/(K2+L2))</f>
        <v>0.57142857142857151</v>
      </c>
      <c r="O2" s="1"/>
    </row>
    <row r="3" spans="1:15" ht="51" x14ac:dyDescent="0.2">
      <c r="A3" s="1">
        <v>2</v>
      </c>
      <c r="B3" s="5" t="s">
        <v>14</v>
      </c>
      <c r="C3" s="6" t="s">
        <v>65</v>
      </c>
      <c r="D3" s="6" t="s">
        <v>19</v>
      </c>
      <c r="E3" s="7" t="s">
        <v>33</v>
      </c>
      <c r="F3" s="7" t="s">
        <v>48</v>
      </c>
      <c r="G3" s="8" t="s">
        <v>49</v>
      </c>
      <c r="H3" s="11">
        <v>5</v>
      </c>
      <c r="I3" s="8">
        <v>2</v>
      </c>
      <c r="J3" s="8">
        <v>2</v>
      </c>
      <c r="K3" s="12">
        <f t="shared" ref="K3:K13" si="0" xml:space="preserve"> I3/H3</f>
        <v>0.4</v>
      </c>
      <c r="L3" s="12">
        <f t="shared" ref="L3:L16" si="1">IF(J3=0, "", I3/J3)</f>
        <v>1</v>
      </c>
      <c r="M3" s="8">
        <v>1</v>
      </c>
      <c r="N3" s="14">
        <f t="shared" ref="N3:N14" si="2">2*((K3*L3)/(K3+L3))</f>
        <v>0.57142857142857151</v>
      </c>
      <c r="O3" s="1"/>
    </row>
    <row r="4" spans="1:15" ht="51" x14ac:dyDescent="0.2">
      <c r="A4" s="1">
        <v>3</v>
      </c>
      <c r="B4" s="8" t="s">
        <v>21</v>
      </c>
      <c r="C4" s="6" t="s">
        <v>66</v>
      </c>
      <c r="D4" s="6" t="s">
        <v>20</v>
      </c>
      <c r="E4" s="7" t="s">
        <v>33</v>
      </c>
      <c r="F4" s="7" t="s">
        <v>48</v>
      </c>
      <c r="G4" s="8" t="s">
        <v>49</v>
      </c>
      <c r="H4" s="11">
        <v>5</v>
      </c>
      <c r="I4" s="8">
        <v>2</v>
      </c>
      <c r="J4" s="8">
        <v>2</v>
      </c>
      <c r="K4" s="12">
        <f t="shared" si="0"/>
        <v>0.4</v>
      </c>
      <c r="L4" s="12">
        <f t="shared" si="1"/>
        <v>1</v>
      </c>
      <c r="M4" s="8">
        <v>1</v>
      </c>
      <c r="N4" s="14">
        <f t="shared" si="2"/>
        <v>0.57142857142857151</v>
      </c>
      <c r="O4" s="1"/>
    </row>
    <row r="5" spans="1:15" ht="51" x14ac:dyDescent="0.2">
      <c r="A5" s="1">
        <v>4</v>
      </c>
      <c r="B5" s="8" t="s">
        <v>1</v>
      </c>
      <c r="C5" s="1" t="s">
        <v>67</v>
      </c>
      <c r="D5" s="6" t="s">
        <v>22</v>
      </c>
      <c r="E5" s="7" t="s">
        <v>33</v>
      </c>
      <c r="F5" s="7" t="s">
        <v>68</v>
      </c>
      <c r="G5" s="8" t="s">
        <v>49</v>
      </c>
      <c r="H5" s="11">
        <v>5</v>
      </c>
      <c r="I5" s="8">
        <v>2</v>
      </c>
      <c r="J5" s="8">
        <v>2</v>
      </c>
      <c r="K5" s="12">
        <f t="shared" si="0"/>
        <v>0.4</v>
      </c>
      <c r="L5" s="12">
        <f t="shared" si="1"/>
        <v>1</v>
      </c>
      <c r="M5" s="8">
        <v>1</v>
      </c>
      <c r="N5" s="14">
        <f t="shared" si="2"/>
        <v>0.57142857142857151</v>
      </c>
      <c r="O5" s="1"/>
    </row>
    <row r="6" spans="1:15" ht="407" customHeight="1" x14ac:dyDescent="0.2">
      <c r="A6" s="1">
        <v>5</v>
      </c>
      <c r="B6" s="8" t="s">
        <v>2</v>
      </c>
      <c r="C6" s="6" t="s">
        <v>69</v>
      </c>
      <c r="D6" s="6" t="s">
        <v>23</v>
      </c>
      <c r="E6" s="7" t="s">
        <v>33</v>
      </c>
      <c r="F6" s="7" t="s">
        <v>31</v>
      </c>
      <c r="G6" s="8" t="s">
        <v>49</v>
      </c>
      <c r="H6" s="11">
        <v>5</v>
      </c>
      <c r="I6" s="8">
        <v>3</v>
      </c>
      <c r="J6" s="8">
        <v>3</v>
      </c>
      <c r="K6" s="12">
        <f t="shared" si="0"/>
        <v>0.6</v>
      </c>
      <c r="L6" s="12">
        <f t="shared" si="1"/>
        <v>1</v>
      </c>
      <c r="M6" s="8">
        <v>1</v>
      </c>
      <c r="N6" s="14">
        <f t="shared" si="2"/>
        <v>0.74999999999999989</v>
      </c>
      <c r="O6" s="1"/>
    </row>
    <row r="7" spans="1:15" ht="119" x14ac:dyDescent="0.2">
      <c r="A7" s="1">
        <v>6</v>
      </c>
      <c r="B7" s="5" t="s">
        <v>15</v>
      </c>
      <c r="C7" s="6" t="s">
        <v>17</v>
      </c>
      <c r="D7" s="6" t="s">
        <v>24</v>
      </c>
      <c r="E7" s="7" t="s">
        <v>33</v>
      </c>
      <c r="F7" s="7" t="s">
        <v>48</v>
      </c>
      <c r="G7" s="8" t="s">
        <v>49</v>
      </c>
      <c r="H7" s="11">
        <v>5</v>
      </c>
      <c r="I7" s="8">
        <v>1</v>
      </c>
      <c r="J7" s="8">
        <v>1</v>
      </c>
      <c r="K7" s="12">
        <f t="shared" si="0"/>
        <v>0.2</v>
      </c>
      <c r="L7" s="12">
        <f t="shared" si="1"/>
        <v>1</v>
      </c>
      <c r="M7" s="8">
        <v>1</v>
      </c>
      <c r="N7" s="14">
        <f t="shared" si="2"/>
        <v>0.33333333333333337</v>
      </c>
      <c r="O7" s="1"/>
    </row>
    <row r="8" spans="1:15" ht="68" x14ac:dyDescent="0.2">
      <c r="A8" s="1">
        <v>7</v>
      </c>
      <c r="B8" s="8" t="s">
        <v>5</v>
      </c>
      <c r="C8" s="6" t="s">
        <v>16</v>
      </c>
      <c r="D8" s="6" t="s">
        <v>25</v>
      </c>
      <c r="E8" s="7" t="s">
        <v>33</v>
      </c>
      <c r="F8" s="7" t="s">
        <v>48</v>
      </c>
      <c r="G8" s="8" t="s">
        <v>49</v>
      </c>
      <c r="H8" s="11">
        <v>5</v>
      </c>
      <c r="I8" s="8">
        <v>1</v>
      </c>
      <c r="J8" s="8">
        <v>1</v>
      </c>
      <c r="K8" s="12">
        <f t="shared" si="0"/>
        <v>0.2</v>
      </c>
      <c r="L8" s="12">
        <f t="shared" si="1"/>
        <v>1</v>
      </c>
      <c r="M8" s="8">
        <v>1</v>
      </c>
      <c r="N8" s="14">
        <f t="shared" si="2"/>
        <v>0.33333333333333337</v>
      </c>
      <c r="O8" s="1"/>
    </row>
    <row r="9" spans="1:15" ht="51" x14ac:dyDescent="0.2">
      <c r="A9" s="1">
        <v>8</v>
      </c>
      <c r="B9" s="5" t="s">
        <v>3</v>
      </c>
      <c r="C9" s="6" t="s">
        <v>4</v>
      </c>
      <c r="D9" s="6" t="s">
        <v>26</v>
      </c>
      <c r="E9" s="7" t="s">
        <v>33</v>
      </c>
      <c r="F9" s="7" t="s">
        <v>48</v>
      </c>
      <c r="G9" s="8" t="s">
        <v>49</v>
      </c>
      <c r="H9" s="11">
        <v>5</v>
      </c>
      <c r="I9" s="8">
        <v>3</v>
      </c>
      <c r="J9" s="8">
        <v>5</v>
      </c>
      <c r="K9" s="12">
        <f t="shared" si="0"/>
        <v>0.6</v>
      </c>
      <c r="L9" s="12">
        <f t="shared" si="1"/>
        <v>0.6</v>
      </c>
      <c r="M9" s="8">
        <v>1</v>
      </c>
      <c r="N9" s="14">
        <f t="shared" si="2"/>
        <v>0.6</v>
      </c>
      <c r="O9" s="1"/>
    </row>
    <row r="10" spans="1:15" ht="85" x14ac:dyDescent="0.2">
      <c r="A10" s="1">
        <v>9</v>
      </c>
      <c r="B10" s="5" t="s">
        <v>10</v>
      </c>
      <c r="C10" s="6" t="s">
        <v>6</v>
      </c>
      <c r="D10" s="6" t="s">
        <v>27</v>
      </c>
      <c r="E10" s="7" t="s">
        <v>33</v>
      </c>
      <c r="F10" s="7" t="s">
        <v>55</v>
      </c>
      <c r="G10" s="8" t="s">
        <v>47</v>
      </c>
      <c r="H10" s="11">
        <v>5</v>
      </c>
      <c r="I10" s="8">
        <v>0</v>
      </c>
      <c r="J10" s="8">
        <v>1</v>
      </c>
      <c r="K10" s="12">
        <f t="shared" si="0"/>
        <v>0</v>
      </c>
      <c r="L10" s="12">
        <f t="shared" si="1"/>
        <v>0</v>
      </c>
      <c r="M10" s="8">
        <v>0</v>
      </c>
      <c r="N10" s="15"/>
      <c r="O10" s="1"/>
    </row>
    <row r="11" spans="1:15" ht="170" x14ac:dyDescent="0.2">
      <c r="A11" s="1">
        <v>10</v>
      </c>
      <c r="B11" s="5" t="s">
        <v>7</v>
      </c>
      <c r="C11" s="6" t="s">
        <v>8</v>
      </c>
      <c r="D11" s="6" t="s">
        <v>28</v>
      </c>
      <c r="E11" s="7" t="s">
        <v>33</v>
      </c>
      <c r="F11" s="7" t="s">
        <v>48</v>
      </c>
      <c r="G11" s="8" t="s">
        <v>49</v>
      </c>
      <c r="H11" s="11">
        <v>5</v>
      </c>
      <c r="I11" s="8">
        <v>1</v>
      </c>
      <c r="J11" s="8">
        <v>1</v>
      </c>
      <c r="K11" s="12">
        <f t="shared" si="0"/>
        <v>0.2</v>
      </c>
      <c r="L11" s="12">
        <f t="shared" si="1"/>
        <v>1</v>
      </c>
      <c r="M11" s="8">
        <v>1</v>
      </c>
      <c r="N11" s="14">
        <f t="shared" si="2"/>
        <v>0.33333333333333337</v>
      </c>
      <c r="O11" s="1"/>
    </row>
    <row r="12" spans="1:15" ht="51" x14ac:dyDescent="0.2">
      <c r="A12" s="1">
        <v>11</v>
      </c>
      <c r="B12" s="8" t="s">
        <v>9</v>
      </c>
      <c r="C12" s="6" t="s">
        <v>32</v>
      </c>
      <c r="D12" s="6" t="s">
        <v>29</v>
      </c>
      <c r="E12" s="7" t="s">
        <v>33</v>
      </c>
      <c r="F12" s="7" t="s">
        <v>48</v>
      </c>
      <c r="G12" s="8" t="s">
        <v>49</v>
      </c>
      <c r="H12" s="11">
        <v>5</v>
      </c>
      <c r="I12" s="8">
        <v>1</v>
      </c>
      <c r="J12" s="8">
        <v>1</v>
      </c>
      <c r="K12" s="12">
        <f t="shared" si="0"/>
        <v>0.2</v>
      </c>
      <c r="L12" s="12">
        <f t="shared" si="1"/>
        <v>1</v>
      </c>
      <c r="M12" s="8">
        <v>1</v>
      </c>
      <c r="N12" s="14">
        <f t="shared" si="2"/>
        <v>0.33333333333333337</v>
      </c>
      <c r="O12" s="1"/>
    </row>
    <row r="13" spans="1:15" ht="119" x14ac:dyDescent="0.2">
      <c r="A13" s="1">
        <v>12</v>
      </c>
      <c r="B13" s="8" t="s">
        <v>34</v>
      </c>
      <c r="C13" s="6" t="s">
        <v>53</v>
      </c>
      <c r="D13" s="6" t="s">
        <v>35</v>
      </c>
      <c r="E13" s="5" t="s">
        <v>43</v>
      </c>
      <c r="F13" s="7" t="s">
        <v>54</v>
      </c>
      <c r="G13" s="8" t="s">
        <v>49</v>
      </c>
      <c r="H13" s="11">
        <v>5</v>
      </c>
      <c r="I13" s="8">
        <v>1</v>
      </c>
      <c r="J13" s="8">
        <v>1</v>
      </c>
      <c r="K13" s="12">
        <f t="shared" si="0"/>
        <v>0.2</v>
      </c>
      <c r="L13" s="12">
        <f t="shared" si="1"/>
        <v>1</v>
      </c>
      <c r="M13" s="8">
        <v>1</v>
      </c>
      <c r="N13" s="14">
        <f t="shared" si="2"/>
        <v>0.33333333333333337</v>
      </c>
      <c r="O13" s="1"/>
    </row>
    <row r="14" spans="1:15" ht="85" x14ac:dyDescent="0.2">
      <c r="A14" s="1">
        <v>13</v>
      </c>
      <c r="B14" s="8" t="s">
        <v>37</v>
      </c>
      <c r="C14" s="6" t="s">
        <v>41</v>
      </c>
      <c r="D14" s="6" t="s">
        <v>36</v>
      </c>
      <c r="E14" s="8" t="s">
        <v>44</v>
      </c>
      <c r="F14" s="7" t="s">
        <v>48</v>
      </c>
      <c r="G14" s="8" t="s">
        <v>49</v>
      </c>
      <c r="H14" s="11">
        <v>5</v>
      </c>
      <c r="I14" s="8">
        <v>0</v>
      </c>
      <c r="J14" s="8">
        <v>0</v>
      </c>
      <c r="K14" s="12">
        <f xml:space="preserve"> I14/H14</f>
        <v>0</v>
      </c>
      <c r="L14" s="13" t="str">
        <f t="shared" si="1"/>
        <v/>
      </c>
      <c r="M14" s="8">
        <v>0</v>
      </c>
      <c r="N14" s="15"/>
      <c r="O14" s="1"/>
    </row>
    <row r="15" spans="1:15" ht="34" x14ac:dyDescent="0.2">
      <c r="A15" s="1">
        <v>14</v>
      </c>
      <c r="B15" s="8" t="s">
        <v>38</v>
      </c>
      <c r="C15" s="6" t="s">
        <v>40</v>
      </c>
      <c r="D15" s="6" t="s">
        <v>39</v>
      </c>
      <c r="E15" s="8" t="s">
        <v>44</v>
      </c>
      <c r="F15" s="7" t="s">
        <v>48</v>
      </c>
      <c r="G15" s="8" t="s">
        <v>49</v>
      </c>
      <c r="H15" s="11">
        <v>5</v>
      </c>
      <c r="I15" s="8">
        <v>0</v>
      </c>
      <c r="J15" s="8">
        <v>0</v>
      </c>
      <c r="K15" s="12">
        <f xml:space="preserve"> I15/H15</f>
        <v>0</v>
      </c>
      <c r="L15" s="13" t="str">
        <f t="shared" si="1"/>
        <v/>
      </c>
      <c r="M15" s="8">
        <v>0</v>
      </c>
      <c r="N15" s="15"/>
      <c r="O15" s="1"/>
    </row>
    <row r="16" spans="1:15" ht="102" x14ac:dyDescent="0.2">
      <c r="A16" s="1">
        <v>15</v>
      </c>
      <c r="B16" s="8" t="s">
        <v>42</v>
      </c>
      <c r="C16" s="6" t="s">
        <v>41</v>
      </c>
      <c r="D16" s="6" t="s">
        <v>45</v>
      </c>
      <c r="E16" s="8" t="s">
        <v>44</v>
      </c>
      <c r="F16" s="7" t="s">
        <v>48</v>
      </c>
      <c r="G16" s="8" t="s">
        <v>49</v>
      </c>
      <c r="H16" s="11">
        <v>5</v>
      </c>
      <c r="I16" s="8">
        <v>0</v>
      </c>
      <c r="J16" s="8">
        <v>0</v>
      </c>
      <c r="K16" s="12">
        <f xml:space="preserve"> I16/H16</f>
        <v>0</v>
      </c>
      <c r="L16" s="13" t="str">
        <f t="shared" si="1"/>
        <v/>
      </c>
      <c r="M16" s="8">
        <v>0</v>
      </c>
      <c r="N16" s="15"/>
      <c r="O16" s="1"/>
    </row>
    <row r="17" spans="1:16" x14ac:dyDescent="0.2">
      <c r="A17" s="1"/>
      <c r="B17" s="1"/>
      <c r="C17" s="1"/>
      <c r="D17" s="1"/>
      <c r="E17" s="1"/>
      <c r="F17" s="1"/>
      <c r="G17" s="1"/>
      <c r="H17" s="11"/>
      <c r="I17" s="1"/>
      <c r="J17" s="1"/>
      <c r="K17" s="14">
        <f>AVERAGE(K2:K16)</f>
        <v>0.25333333333333341</v>
      </c>
      <c r="L17" s="14">
        <f>AVERAGE(L2:L16)</f>
        <v>0.8833333333333333</v>
      </c>
      <c r="M17" s="14">
        <f>AVERAGE(M2:M16)</f>
        <v>0.73333333333333328</v>
      </c>
      <c r="N17" s="14">
        <f>AVERAGE(N2:N16)</f>
        <v>0.48203463203463204</v>
      </c>
      <c r="O17" s="1"/>
      <c r="P17" s="1"/>
    </row>
    <row r="18" spans="1:16" x14ac:dyDescent="0.2">
      <c r="A18" s="1"/>
      <c r="B18" s="1"/>
      <c r="C18" s="1"/>
      <c r="D18" s="1"/>
      <c r="E18" s="1"/>
      <c r="F18" s="1"/>
      <c r="G18" s="1"/>
      <c r="H18" s="1"/>
      <c r="I18" s="1"/>
      <c r="J18" s="1"/>
      <c r="K18" s="1"/>
      <c r="L18" s="1"/>
      <c r="M18" s="1"/>
      <c r="N18" s="1"/>
      <c r="O18" s="1"/>
      <c r="P18" s="1"/>
    </row>
    <row r="19" spans="1:16" x14ac:dyDescent="0.2">
      <c r="B19" s="2"/>
      <c r="C19" s="2"/>
      <c r="D19" s="2"/>
      <c r="F19" s="2"/>
      <c r="G19" s="2"/>
      <c r="H19" s="2"/>
      <c r="I19" s="2"/>
      <c r="J19" s="2"/>
      <c r="K19" s="2"/>
      <c r="L19" s="2"/>
      <c r="M19" s="2"/>
      <c r="N19" s="2"/>
      <c r="O19" s="2"/>
      <c r="P19" s="2"/>
    </row>
    <row r="20" spans="1:16" x14ac:dyDescent="0.2">
      <c r="B20" s="2"/>
      <c r="C20" s="2"/>
      <c r="D20" s="2"/>
      <c r="F20" s="2"/>
      <c r="G20" s="2"/>
      <c r="H20" s="2"/>
      <c r="I20" s="2"/>
      <c r="J20" s="2"/>
      <c r="K20" s="2"/>
      <c r="L20" s="2"/>
      <c r="M20" s="2"/>
      <c r="N20" s="2"/>
      <c r="O20" s="2"/>
      <c r="P20" s="2"/>
    </row>
    <row r="21" spans="1:16" x14ac:dyDescent="0.2">
      <c r="B21" s="2"/>
      <c r="C21" s="2"/>
      <c r="D21" s="2"/>
      <c r="F21" s="2"/>
      <c r="G21" s="2"/>
      <c r="H21" s="2"/>
      <c r="I21" s="2"/>
      <c r="J21" s="2"/>
      <c r="K21" s="2"/>
      <c r="L21" s="2"/>
      <c r="M21" s="2"/>
      <c r="N21" s="2"/>
      <c r="O21" s="2"/>
      <c r="P21" s="2"/>
    </row>
    <row r="22" spans="1:16" x14ac:dyDescent="0.2">
      <c r="B22" s="2"/>
      <c r="C22" s="2"/>
      <c r="D22" s="2"/>
      <c r="F22" s="2"/>
      <c r="G22" s="2"/>
      <c r="H22" s="2"/>
      <c r="I22" s="2"/>
      <c r="J22" s="2"/>
      <c r="K22" s="2"/>
      <c r="L22" s="2"/>
      <c r="M22" s="2"/>
      <c r="N22" s="2"/>
      <c r="O22" s="2"/>
      <c r="P22" s="2"/>
    </row>
    <row r="23" spans="1:16" x14ac:dyDescent="0.2">
      <c r="B23" s="2"/>
      <c r="C23" s="2"/>
      <c r="D23" s="2"/>
      <c r="F23" s="2"/>
      <c r="G23" s="2"/>
      <c r="H23" s="2"/>
      <c r="I23" s="2"/>
      <c r="J23" s="2"/>
      <c r="K23" s="2"/>
      <c r="L23" s="2"/>
      <c r="M23" s="2"/>
      <c r="N23" s="2"/>
      <c r="O23" s="2"/>
      <c r="P23" s="2"/>
    </row>
  </sheetData>
  <hyperlinks>
    <hyperlink ref="K1" r:id="rId1" xr:uid="{8245B373-7B93-6F42-BD9E-41C920E87C6E}"/>
    <hyperlink ref="L1" r:id="rId2" xr:uid="{91FC8E1C-8310-2A41-BD46-A995EE8D0058}"/>
    <hyperlink ref="N1" r:id="rId3" xr:uid="{79158C6D-8DE3-3143-A72D-1A10BCFA2C4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Merlind Pohl</dc:creator>
  <cp:lastModifiedBy>Merlind Pohl</cp:lastModifiedBy>
  <dcterms:created xsi:type="dcterms:W3CDTF">2026-04-02T08:18:06Z</dcterms:created>
  <dcterms:modified xsi:type="dcterms:W3CDTF">2026-04-04T15:37:01Z</dcterms:modified>
</cp:coreProperties>
</file>